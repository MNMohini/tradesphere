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https://bnagritech1-my.sharepoint.com/personal/it_intern_bngroupindia_com/Documents/tradesphere/"/>
    </mc:Choice>
  </mc:AlternateContent>
  <xr:revisionPtr revIDLastSave="399" documentId="11_F25DC773A252ABDACC1048B9199B6F7E5ADE58EA" xr6:coauthVersionLast="47" xr6:coauthVersionMax="47" xr10:uidLastSave="{8317B7A6-5347-40B4-8672-8C5CE52D8653}"/>
  <bookViews>
    <workbookView xWindow="-110" yWindow="-110" windowWidth="19420" windowHeight="10300" firstSheet="1" activeTab="1" xr2:uid="{00000000-000D-0000-FFFF-FFFF00000000}"/>
  </bookViews>
  <sheets>
    <sheet name="DWM" sheetId="4" r:id="rId1"/>
    <sheet name="Phases" sheetId="1" r:id="rId2"/>
    <sheet name="Project Timelin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G3" i="1"/>
  <c r="E4" i="1" s="1"/>
  <c r="G4" i="1" s="1"/>
  <c r="E5" i="1" s="1"/>
  <c r="G5" i="1" s="1"/>
  <c r="E6" i="1" s="1"/>
  <c r="G6" i="1" s="1"/>
  <c r="E7" i="1" s="1"/>
  <c r="G7" i="1" s="1"/>
  <c r="E8" i="1" s="1"/>
  <c r="G8" i="1" s="1"/>
  <c r="E9" i="1" s="1"/>
  <c r="G9" i="1" s="1"/>
  <c r="E10" i="1" s="1"/>
  <c r="G10" i="1" s="1"/>
  <c r="E11" i="1" s="1"/>
  <c r="G11" i="1" s="1"/>
  <c r="E12" i="1" s="1"/>
  <c r="G12" i="1" s="1"/>
  <c r="E13" i="1" s="1"/>
  <c r="G13" i="1" s="1"/>
  <c r="E14" i="1" s="1"/>
  <c r="G14" i="1" s="1"/>
  <c r="E15" i="1" s="1"/>
  <c r="G15" i="1" s="1"/>
  <c r="E16" i="1" s="1"/>
  <c r="G16" i="1" s="1"/>
  <c r="E17" i="1" s="1"/>
  <c r="G17" i="1" s="1"/>
  <c r="E18" i="1" s="1"/>
  <c r="G18" i="1" s="1"/>
  <c r="E19" i="1" s="1"/>
  <c r="G19" i="1" s="1"/>
  <c r="E20" i="1" s="1"/>
  <c r="G20" i="1" s="1"/>
  <c r="E21" i="1" s="1"/>
  <c r="G21" i="1" s="1"/>
</calcChain>
</file>

<file path=xl/sharedStrings.xml><?xml version="1.0" encoding="utf-8"?>
<sst xmlns="http://schemas.openxmlformats.org/spreadsheetml/2006/main" count="117" uniqueCount="71">
  <si>
    <t>Pilot : Tradesphere</t>
  </si>
  <si>
    <t>Tradesphere Project Tracker</t>
  </si>
  <si>
    <t>Task ID</t>
  </si>
  <si>
    <t>Phase</t>
  </si>
  <si>
    <t>Task Name</t>
  </si>
  <si>
    <t>Dependency Task ID</t>
  </si>
  <si>
    <t>Start Date</t>
  </si>
  <si>
    <t>Duration (Days)</t>
  </si>
  <si>
    <t>End Date</t>
  </si>
  <si>
    <t>Status</t>
  </si>
  <si>
    <t>weekend off included</t>
  </si>
  <si>
    <t>Phase 1</t>
  </si>
  <si>
    <t>Requirement Analysis &amp; Solution Design</t>
  </si>
  <si>
    <t>Completed</t>
  </si>
  <si>
    <t>Yes</t>
  </si>
  <si>
    <t>Phase 2</t>
  </si>
  <si>
    <t>Database Design &amp; Architecture Setup</t>
  </si>
  <si>
    <t>In-progress</t>
  </si>
  <si>
    <t>Not Started</t>
  </si>
  <si>
    <t>Phase 3</t>
  </si>
  <si>
    <t>Authentication Module</t>
  </si>
  <si>
    <t>In-Progress</t>
  </si>
  <si>
    <t>Phase 4</t>
  </si>
  <si>
    <t>Security Module</t>
  </si>
  <si>
    <t>Phase 5</t>
  </si>
  <si>
    <t>Employee Module</t>
  </si>
  <si>
    <t>Phase 6</t>
  </si>
  <si>
    <t>Territory Module</t>
  </si>
  <si>
    <t>Phase 7</t>
  </si>
  <si>
    <t>Promoter Module</t>
  </si>
  <si>
    <t>Phase 8</t>
  </si>
  <si>
    <t>Beats &amp; Beat Assignment Module</t>
  </si>
  <si>
    <t>Phase 9</t>
  </si>
  <si>
    <t>Retailer Module</t>
  </si>
  <si>
    <t>Phase 10</t>
  </si>
  <si>
    <t>Attendance And EOD Module</t>
  </si>
  <si>
    <t>Phase 11</t>
  </si>
  <si>
    <t>Visit Module</t>
  </si>
  <si>
    <t>Phase 12</t>
  </si>
  <si>
    <t>Retailer Feedback Module</t>
  </si>
  <si>
    <t>Phase 13</t>
  </si>
  <si>
    <t>Product Module</t>
  </si>
  <si>
    <t>Phase 14</t>
  </si>
  <si>
    <t>Retailer Stock Management</t>
  </si>
  <si>
    <t>Phase 15</t>
  </si>
  <si>
    <t>Order Module</t>
  </si>
  <si>
    <t>Phase 16</t>
  </si>
  <si>
    <t>UI/UX Design(Portal + App)</t>
  </si>
  <si>
    <t>Phase 17</t>
  </si>
  <si>
    <t>Dashboard &amp; Reporting</t>
  </si>
  <si>
    <t>Phase 18</t>
  </si>
  <si>
    <t>Testing, Bug fixing</t>
  </si>
  <si>
    <t>Phase 19</t>
  </si>
  <si>
    <t>Deployment And Go-live Suppot</t>
  </si>
  <si>
    <t>Final Date</t>
  </si>
  <si>
    <t>Dependency (Task ID)</t>
  </si>
  <si>
    <t>Planning</t>
  </si>
  <si>
    <t>Project Kickoff</t>
  </si>
  <si>
    <t>08-06-2026</t>
  </si>
  <si>
    <t>Requirement Gathering</t>
  </si>
  <si>
    <t>Design</t>
  </si>
  <si>
    <t>Solution Design</t>
  </si>
  <si>
    <t>Implementation</t>
  </si>
  <si>
    <t>Development Phase 1</t>
  </si>
  <si>
    <t>Development Phase 2</t>
  </si>
  <si>
    <t>Testing</t>
  </si>
  <si>
    <t>System Testing</t>
  </si>
  <si>
    <t>UAT</t>
  </si>
  <si>
    <t>User Acceptance Testing</t>
  </si>
  <si>
    <t>Go-Live</t>
  </si>
  <si>
    <t>Production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</si>
</sst>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2" fillId="0" borderId="0" xfId="0" applyFont="1"/>
    <xf numFmtId="14" fontId="0" fillId="0" borderId="0" xfId="0" applyNumberFormat="1"/>
    <xf numFmtId="0" fontId="1" fillId="0" borderId="1" xfId="0" applyFont="1" applyBorder="1" applyAlignment="1">
      <alignment horizontal="left" indent="1"/>
    </xf>
    <xf numFmtId="0" fontId="1" fillId="0" borderId="1" xfId="0" applyFont="1" applyBorder="1" applyAlignment="1">
      <alignment horizontal="left" wrapText="1" indent="1"/>
    </xf>
    <xf numFmtId="164" fontId="0" fillId="0" borderId="1" xfId="0" applyNumberFormat="1" applyBorder="1"/>
    <xf numFmtId="0" fontId="0" fillId="0" borderId="3" xfId="0" applyBorder="1"/>
    <xf numFmtId="0" fontId="1" fillId="0" borderId="2" xfId="0" applyFont="1" applyBorder="1" applyAlignment="1">
      <alignment horizontal="center"/>
    </xf>
    <xf numFmtId="165" fontId="1" fillId="2" borderId="0" xfId="0" applyNumberFormat="1" applyFont="1" applyFill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left" indent="1"/>
    </xf>
    <xf numFmtId="165" fontId="0" fillId="0" borderId="4" xfId="0" applyNumberForma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B679-3C26-4760-A69A-4B3B2033083D}">
  <dimension ref="A1:A34"/>
  <sheetViews>
    <sheetView workbookViewId="0">
      <selection activeCell="C13" sqref="C13"/>
    </sheetView>
  </sheetViews>
  <sheetFormatPr defaultRowHeight="14.45"/>
  <cols>
    <col min="1" max="1" width="18.28515625" bestFit="1" customWidth="1"/>
  </cols>
  <sheetData>
    <row r="1" spans="1:1">
      <c r="A1" s="1" t="s">
        <v>0</v>
      </c>
    </row>
    <row r="2" spans="1:1">
      <c r="A2" s="6">
        <v>46174</v>
      </c>
    </row>
    <row r="3" spans="1:1">
      <c r="A3" s="6">
        <v>46175</v>
      </c>
    </row>
    <row r="4" spans="1:1">
      <c r="A4" s="6">
        <v>46176</v>
      </c>
    </row>
    <row r="5" spans="1:1">
      <c r="A5" s="6">
        <v>46177</v>
      </c>
    </row>
    <row r="6" spans="1:1">
      <c r="A6" s="6">
        <v>46178</v>
      </c>
    </row>
    <row r="7" spans="1:1">
      <c r="A7" s="6">
        <v>46179</v>
      </c>
    </row>
    <row r="8" spans="1:1">
      <c r="A8" s="6">
        <v>46180</v>
      </c>
    </row>
    <row r="9" spans="1:1">
      <c r="A9" s="6">
        <v>46181</v>
      </c>
    </row>
    <row r="10" spans="1:1">
      <c r="A10" s="6">
        <v>46182</v>
      </c>
    </row>
    <row r="11" spans="1:1">
      <c r="A11" s="6">
        <v>46183</v>
      </c>
    </row>
    <row r="12" spans="1:1">
      <c r="A12" s="6">
        <v>46184</v>
      </c>
    </row>
    <row r="13" spans="1:1">
      <c r="A13" s="6">
        <v>46185</v>
      </c>
    </row>
    <row r="14" spans="1:1">
      <c r="A14" s="6"/>
    </row>
    <row r="15" spans="1:1">
      <c r="A15" s="6"/>
    </row>
    <row r="16" spans="1:1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1" spans="1:1">
      <c r="A21" s="6"/>
    </row>
    <row r="22" spans="1:1">
      <c r="A22" s="6"/>
    </row>
    <row r="23" spans="1:1">
      <c r="A23" s="6"/>
    </row>
    <row r="24" spans="1:1">
      <c r="A24" s="6"/>
    </row>
    <row r="25" spans="1:1">
      <c r="A25" s="6"/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pans="1:1">
      <c r="A31" s="6"/>
    </row>
    <row r="32" spans="1:1">
      <c r="A32" s="6"/>
    </row>
    <row r="33" spans="1:1">
      <c r="A33" s="6"/>
    </row>
    <row r="34" spans="1:1">
      <c r="A3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C23" sqref="C23:D23"/>
    </sheetView>
  </sheetViews>
  <sheetFormatPr defaultColWidth="9.140625" defaultRowHeight="14.45"/>
  <cols>
    <col min="2" max="2" width="14.42578125" customWidth="1"/>
    <col min="3" max="3" width="41.28515625" bestFit="1" customWidth="1"/>
    <col min="4" max="4" width="13.28515625" customWidth="1"/>
    <col min="5" max="5" width="14" customWidth="1"/>
    <col min="7" max="8" width="11.42578125" bestFit="1" customWidth="1"/>
    <col min="9" max="9" width="20.28515625" bestFit="1" customWidth="1"/>
    <col min="15" max="15" width="9.140625" bestFit="1" customWidth="1"/>
    <col min="16" max="16" width="9.140625" hidden="1" customWidth="1"/>
  </cols>
  <sheetData>
    <row r="1" spans="1:16">
      <c r="B1" s="11" t="s">
        <v>1</v>
      </c>
      <c r="C1" s="11"/>
      <c r="D1" s="11"/>
      <c r="E1" s="11"/>
      <c r="F1" s="11"/>
    </row>
    <row r="2" spans="1:16" ht="30.75">
      <c r="A2" s="7" t="s">
        <v>2</v>
      </c>
      <c r="B2" s="7" t="s">
        <v>3</v>
      </c>
      <c r="C2" s="7" t="s">
        <v>4</v>
      </c>
      <c r="D2" s="8" t="s">
        <v>5</v>
      </c>
      <c r="E2" s="7" t="s">
        <v>6</v>
      </c>
      <c r="F2" s="7" t="s">
        <v>7</v>
      </c>
      <c r="G2" s="15" t="s">
        <v>8</v>
      </c>
      <c r="H2" s="7" t="s">
        <v>9</v>
      </c>
      <c r="I2" s="13" t="s">
        <v>10</v>
      </c>
    </row>
    <row r="3" spans="1:16">
      <c r="A3" s="3">
        <v>1</v>
      </c>
      <c r="B3" s="3" t="s">
        <v>11</v>
      </c>
      <c r="C3" s="3" t="s">
        <v>12</v>
      </c>
      <c r="D3" s="3"/>
      <c r="E3" s="9">
        <v>46181</v>
      </c>
      <c r="F3" s="3">
        <v>9</v>
      </c>
      <c r="G3" s="16">
        <f>E3+F3</f>
        <v>46190</v>
      </c>
      <c r="H3" s="4" t="s">
        <v>13</v>
      </c>
      <c r="I3" s="14" t="s">
        <v>14</v>
      </c>
      <c r="J3" s="2"/>
      <c r="P3" t="s">
        <v>13</v>
      </c>
    </row>
    <row r="4" spans="1:16">
      <c r="A4" s="3">
        <v>2</v>
      </c>
      <c r="B4" s="3" t="s">
        <v>15</v>
      </c>
      <c r="C4" s="3" t="s">
        <v>16</v>
      </c>
      <c r="D4" s="3">
        <v>1</v>
      </c>
      <c r="E4" s="9">
        <f>G3+1</f>
        <v>46191</v>
      </c>
      <c r="F4" s="3">
        <v>18</v>
      </c>
      <c r="G4" s="16">
        <f t="shared" ref="G4:G21" si="0">E4+F4</f>
        <v>46209</v>
      </c>
      <c r="H4" s="4" t="s">
        <v>17</v>
      </c>
      <c r="I4" s="14" t="s">
        <v>14</v>
      </c>
      <c r="P4" t="s">
        <v>18</v>
      </c>
    </row>
    <row r="5" spans="1:16">
      <c r="A5" s="3">
        <v>3</v>
      </c>
      <c r="B5" s="3" t="s">
        <v>19</v>
      </c>
      <c r="C5" s="3" t="s">
        <v>20</v>
      </c>
      <c r="D5" s="3">
        <v>2</v>
      </c>
      <c r="E5" s="9">
        <f>G4+1</f>
        <v>46210</v>
      </c>
      <c r="F5" s="3">
        <v>7</v>
      </c>
      <c r="G5" s="16">
        <f t="shared" si="0"/>
        <v>46217</v>
      </c>
      <c r="H5" s="4" t="s">
        <v>13</v>
      </c>
      <c r="I5" s="14" t="s">
        <v>14</v>
      </c>
      <c r="P5" t="s">
        <v>21</v>
      </c>
    </row>
    <row r="6" spans="1:16">
      <c r="A6" s="3">
        <v>4</v>
      </c>
      <c r="B6" s="3" t="s">
        <v>22</v>
      </c>
      <c r="C6" s="3" t="s">
        <v>23</v>
      </c>
      <c r="D6" s="3">
        <v>3</v>
      </c>
      <c r="E6" s="9">
        <f t="shared" ref="E6:E19" si="1">G5+1</f>
        <v>46218</v>
      </c>
      <c r="F6" s="3">
        <v>2</v>
      </c>
      <c r="G6" s="16">
        <f t="shared" si="0"/>
        <v>46220</v>
      </c>
      <c r="H6" s="4" t="s">
        <v>17</v>
      </c>
      <c r="I6" s="14" t="s">
        <v>14</v>
      </c>
    </row>
    <row r="7" spans="1:16">
      <c r="A7" s="3">
        <v>5</v>
      </c>
      <c r="B7" s="3" t="s">
        <v>24</v>
      </c>
      <c r="C7" s="3" t="s">
        <v>25</v>
      </c>
      <c r="D7" s="3">
        <v>4</v>
      </c>
      <c r="E7" s="9">
        <f t="shared" si="1"/>
        <v>46221</v>
      </c>
      <c r="F7" s="3">
        <v>7</v>
      </c>
      <c r="G7" s="16">
        <f t="shared" si="0"/>
        <v>46228</v>
      </c>
      <c r="H7" s="4" t="s">
        <v>13</v>
      </c>
      <c r="I7" s="14" t="s">
        <v>14</v>
      </c>
    </row>
    <row r="8" spans="1:16">
      <c r="A8" s="3">
        <v>6</v>
      </c>
      <c r="B8" s="3" t="s">
        <v>26</v>
      </c>
      <c r="C8" s="3" t="s">
        <v>27</v>
      </c>
      <c r="D8" s="3">
        <v>5</v>
      </c>
      <c r="E8" s="9">
        <f t="shared" si="1"/>
        <v>46229</v>
      </c>
      <c r="F8" s="3">
        <v>7</v>
      </c>
      <c r="G8" s="16">
        <f t="shared" si="0"/>
        <v>46236</v>
      </c>
      <c r="H8" s="4" t="s">
        <v>18</v>
      </c>
      <c r="I8" s="14" t="s">
        <v>14</v>
      </c>
    </row>
    <row r="9" spans="1:16">
      <c r="A9" s="3">
        <v>7</v>
      </c>
      <c r="B9" s="3" t="s">
        <v>28</v>
      </c>
      <c r="C9" s="3" t="s">
        <v>29</v>
      </c>
      <c r="D9" s="3">
        <v>6</v>
      </c>
      <c r="E9" s="9">
        <f t="shared" si="1"/>
        <v>46237</v>
      </c>
      <c r="F9" s="3">
        <v>7</v>
      </c>
      <c r="G9" s="16">
        <f t="shared" si="0"/>
        <v>46244</v>
      </c>
      <c r="H9" s="4" t="s">
        <v>18</v>
      </c>
      <c r="I9" s="14" t="s">
        <v>14</v>
      </c>
    </row>
    <row r="10" spans="1:16">
      <c r="A10" s="3">
        <v>8</v>
      </c>
      <c r="B10" s="3" t="s">
        <v>30</v>
      </c>
      <c r="C10" s="3" t="s">
        <v>31</v>
      </c>
      <c r="D10" s="3">
        <v>7</v>
      </c>
      <c r="E10" s="9">
        <f t="shared" si="1"/>
        <v>46245</v>
      </c>
      <c r="F10" s="3">
        <v>10</v>
      </c>
      <c r="G10" s="16">
        <f t="shared" si="0"/>
        <v>46255</v>
      </c>
      <c r="H10" s="4" t="s">
        <v>18</v>
      </c>
      <c r="I10" s="14" t="s">
        <v>14</v>
      </c>
    </row>
    <row r="11" spans="1:16">
      <c r="A11" s="3">
        <v>9</v>
      </c>
      <c r="B11" s="3" t="s">
        <v>32</v>
      </c>
      <c r="C11" s="3" t="s">
        <v>33</v>
      </c>
      <c r="D11" s="3">
        <v>8</v>
      </c>
      <c r="E11" s="9">
        <f t="shared" si="1"/>
        <v>46256</v>
      </c>
      <c r="F11" s="3">
        <v>7</v>
      </c>
      <c r="G11" s="16">
        <f t="shared" si="0"/>
        <v>46263</v>
      </c>
      <c r="H11" s="4" t="s">
        <v>18</v>
      </c>
      <c r="I11" s="14" t="s">
        <v>14</v>
      </c>
    </row>
    <row r="12" spans="1:16">
      <c r="A12" s="3">
        <v>10</v>
      </c>
      <c r="B12" s="3" t="s">
        <v>34</v>
      </c>
      <c r="C12" s="3" t="s">
        <v>35</v>
      </c>
      <c r="D12" s="3">
        <v>9</v>
      </c>
      <c r="E12" s="9">
        <f t="shared" si="1"/>
        <v>46264</v>
      </c>
      <c r="F12" s="3">
        <v>9</v>
      </c>
      <c r="G12" s="16">
        <f t="shared" si="0"/>
        <v>46273</v>
      </c>
      <c r="H12" s="4" t="s">
        <v>18</v>
      </c>
      <c r="I12" s="14" t="s">
        <v>14</v>
      </c>
    </row>
    <row r="13" spans="1:16">
      <c r="A13" s="3">
        <v>11</v>
      </c>
      <c r="B13" s="3" t="s">
        <v>36</v>
      </c>
      <c r="C13" s="3" t="s">
        <v>37</v>
      </c>
      <c r="D13" s="3">
        <v>10</v>
      </c>
      <c r="E13" s="9">
        <f t="shared" si="1"/>
        <v>46274</v>
      </c>
      <c r="F13" s="3">
        <v>9</v>
      </c>
      <c r="G13" s="16">
        <f t="shared" si="0"/>
        <v>46283</v>
      </c>
      <c r="H13" s="4" t="s">
        <v>18</v>
      </c>
      <c r="I13" s="14" t="s">
        <v>14</v>
      </c>
    </row>
    <row r="14" spans="1:16">
      <c r="A14" s="3">
        <v>12</v>
      </c>
      <c r="B14" s="3" t="s">
        <v>38</v>
      </c>
      <c r="C14" s="3" t="s">
        <v>39</v>
      </c>
      <c r="D14" s="3">
        <v>11</v>
      </c>
      <c r="E14" s="9">
        <f t="shared" si="1"/>
        <v>46284</v>
      </c>
      <c r="F14" s="3">
        <v>5</v>
      </c>
      <c r="G14" s="16">
        <f t="shared" si="0"/>
        <v>46289</v>
      </c>
      <c r="H14" s="4" t="s">
        <v>18</v>
      </c>
      <c r="I14" s="14" t="s">
        <v>14</v>
      </c>
    </row>
    <row r="15" spans="1:16">
      <c r="A15" s="3">
        <v>13</v>
      </c>
      <c r="B15" s="3" t="s">
        <v>40</v>
      </c>
      <c r="C15" s="3" t="s">
        <v>41</v>
      </c>
      <c r="D15" s="3">
        <v>12</v>
      </c>
      <c r="E15" s="9">
        <f t="shared" si="1"/>
        <v>46290</v>
      </c>
      <c r="F15" s="3">
        <v>5</v>
      </c>
      <c r="G15" s="16">
        <f t="shared" si="0"/>
        <v>46295</v>
      </c>
      <c r="H15" s="4" t="s">
        <v>18</v>
      </c>
      <c r="I15" s="14" t="s">
        <v>14</v>
      </c>
    </row>
    <row r="16" spans="1:16">
      <c r="A16" s="3">
        <v>14</v>
      </c>
      <c r="B16" s="3" t="s">
        <v>42</v>
      </c>
      <c r="C16" s="3" t="s">
        <v>43</v>
      </c>
      <c r="D16" s="3">
        <v>13</v>
      </c>
      <c r="E16" s="9">
        <f t="shared" si="1"/>
        <v>46296</v>
      </c>
      <c r="F16" s="3">
        <v>9</v>
      </c>
      <c r="G16" s="16">
        <f t="shared" si="0"/>
        <v>46305</v>
      </c>
      <c r="H16" s="4" t="s">
        <v>18</v>
      </c>
      <c r="I16" s="14" t="s">
        <v>14</v>
      </c>
    </row>
    <row r="17" spans="1:9">
      <c r="A17" s="3">
        <v>15</v>
      </c>
      <c r="B17" s="3" t="s">
        <v>44</v>
      </c>
      <c r="C17" s="3" t="s">
        <v>45</v>
      </c>
      <c r="D17" s="3">
        <v>14</v>
      </c>
      <c r="E17" s="9">
        <f t="shared" si="1"/>
        <v>46306</v>
      </c>
      <c r="F17" s="3">
        <v>7</v>
      </c>
      <c r="G17" s="16">
        <f t="shared" si="0"/>
        <v>46313</v>
      </c>
      <c r="H17" s="4" t="s">
        <v>18</v>
      </c>
      <c r="I17" s="14" t="s">
        <v>14</v>
      </c>
    </row>
    <row r="18" spans="1:9">
      <c r="A18" s="3">
        <v>16</v>
      </c>
      <c r="B18" s="3" t="s">
        <v>46</v>
      </c>
      <c r="C18" s="3" t="s">
        <v>47</v>
      </c>
      <c r="D18" s="3">
        <v>15</v>
      </c>
      <c r="E18" s="9">
        <f t="shared" si="1"/>
        <v>46314</v>
      </c>
      <c r="F18" s="3">
        <v>19</v>
      </c>
      <c r="G18" s="16">
        <f t="shared" si="0"/>
        <v>46333</v>
      </c>
      <c r="H18" s="4" t="s">
        <v>18</v>
      </c>
      <c r="I18" s="14" t="s">
        <v>14</v>
      </c>
    </row>
    <row r="19" spans="1:9">
      <c r="A19" s="3">
        <v>17</v>
      </c>
      <c r="B19" s="3" t="s">
        <v>48</v>
      </c>
      <c r="C19" s="3" t="s">
        <v>49</v>
      </c>
      <c r="D19" s="3">
        <v>16</v>
      </c>
      <c r="E19" s="9">
        <f t="shared" si="1"/>
        <v>46334</v>
      </c>
      <c r="F19" s="3">
        <v>9</v>
      </c>
      <c r="G19" s="16">
        <f t="shared" si="0"/>
        <v>46343</v>
      </c>
      <c r="H19" s="4" t="s">
        <v>18</v>
      </c>
      <c r="I19" s="14" t="s">
        <v>14</v>
      </c>
    </row>
    <row r="20" spans="1:9">
      <c r="A20" s="3">
        <v>18</v>
      </c>
      <c r="B20" s="3" t="s">
        <v>50</v>
      </c>
      <c r="C20" s="10" t="s">
        <v>51</v>
      </c>
      <c r="D20" s="3">
        <v>17</v>
      </c>
      <c r="E20" s="9">
        <f>G19+1</f>
        <v>46344</v>
      </c>
      <c r="F20" s="3">
        <v>9</v>
      </c>
      <c r="G20" s="16">
        <f t="shared" si="0"/>
        <v>46353</v>
      </c>
      <c r="H20" s="4" t="s">
        <v>18</v>
      </c>
      <c r="I20" s="14" t="s">
        <v>14</v>
      </c>
    </row>
    <row r="21" spans="1:9">
      <c r="A21" s="3">
        <v>19</v>
      </c>
      <c r="B21" s="3" t="s">
        <v>52</v>
      </c>
      <c r="C21" s="3" t="s">
        <v>53</v>
      </c>
      <c r="D21" s="3">
        <v>18</v>
      </c>
      <c r="E21" s="9">
        <f>G20+1</f>
        <v>46354</v>
      </c>
      <c r="F21" s="3">
        <v>9</v>
      </c>
      <c r="G21" s="16">
        <f t="shared" si="0"/>
        <v>46363</v>
      </c>
      <c r="H21" s="4" t="s">
        <v>18</v>
      </c>
      <c r="I21" s="14" t="s">
        <v>14</v>
      </c>
    </row>
    <row r="23" spans="1:9" ht="15">
      <c r="C23" s="3" t="s">
        <v>54</v>
      </c>
      <c r="D23" s="12">
        <f>G21</f>
        <v>46363</v>
      </c>
    </row>
  </sheetData>
  <mergeCells count="1">
    <mergeCell ref="B1:F1"/>
  </mergeCells>
  <conditionalFormatting sqref="H3:H21">
    <cfRule type="cellIs" dxfId="2" priority="7" operator="equal">
      <formula>$P$5</formula>
    </cfRule>
    <cfRule type="cellIs" dxfId="1" priority="8" operator="equal">
      <formula>$P$3</formula>
    </cfRule>
    <cfRule type="cellIs" dxfId="0" priority="9" operator="equal">
      <formula>$P$4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C660-FD22-424D-B761-DA960EAAB43D}">
  <dimension ref="A1:H9"/>
  <sheetViews>
    <sheetView workbookViewId="0">
      <selection activeCell="D16" sqref="D16"/>
    </sheetView>
  </sheetViews>
  <sheetFormatPr defaultRowHeight="14.45"/>
  <sheetData>
    <row r="1" spans="1:8">
      <c r="A1" s="5" t="s">
        <v>2</v>
      </c>
      <c r="B1" s="5" t="s">
        <v>3</v>
      </c>
      <c r="C1" s="5" t="s">
        <v>4</v>
      </c>
      <c r="D1" s="5" t="s">
        <v>55</v>
      </c>
      <c r="E1" s="5" t="s">
        <v>6</v>
      </c>
      <c r="F1" s="5" t="s">
        <v>7</v>
      </c>
      <c r="G1" s="5" t="s">
        <v>8</v>
      </c>
      <c r="H1" s="5" t="s">
        <v>9</v>
      </c>
    </row>
    <row r="2" spans="1:8">
      <c r="A2">
        <v>1</v>
      </c>
      <c r="B2" t="s">
        <v>56</v>
      </c>
      <c r="C2" t="s">
        <v>57</v>
      </c>
      <c r="E2" t="s">
        <v>58</v>
      </c>
      <c r="F2">
        <v>2</v>
      </c>
      <c r="H2" t="s">
        <v>18</v>
      </c>
    </row>
    <row r="3" spans="1:8">
      <c r="A3">
        <v>2</v>
      </c>
      <c r="B3" t="s">
        <v>56</v>
      </c>
      <c r="C3" t="s">
        <v>59</v>
      </c>
      <c r="D3">
        <v>1</v>
      </c>
      <c r="F3">
        <v>5</v>
      </c>
    </row>
    <row r="4" spans="1:8">
      <c r="A4">
        <v>3</v>
      </c>
      <c r="B4" t="s">
        <v>60</v>
      </c>
      <c r="C4" t="s">
        <v>61</v>
      </c>
      <c r="D4">
        <v>2</v>
      </c>
      <c r="F4">
        <v>4</v>
      </c>
    </row>
    <row r="5" spans="1:8">
      <c r="A5">
        <v>4</v>
      </c>
      <c r="B5" t="s">
        <v>62</v>
      </c>
      <c r="C5" t="s">
        <v>63</v>
      </c>
      <c r="D5">
        <v>3</v>
      </c>
      <c r="F5">
        <v>6</v>
      </c>
    </row>
    <row r="6" spans="1:8">
      <c r="A6">
        <v>5</v>
      </c>
      <c r="B6" t="s">
        <v>62</v>
      </c>
      <c r="C6" t="s">
        <v>64</v>
      </c>
      <c r="D6">
        <v>4</v>
      </c>
      <c r="F6">
        <v>5</v>
      </c>
    </row>
    <row r="7" spans="1:8">
      <c r="A7">
        <v>6</v>
      </c>
      <c r="B7" t="s">
        <v>65</v>
      </c>
      <c r="C7" t="s">
        <v>66</v>
      </c>
      <c r="D7">
        <v>5</v>
      </c>
      <c r="F7">
        <v>4</v>
      </c>
    </row>
    <row r="8" spans="1:8">
      <c r="A8">
        <v>7</v>
      </c>
      <c r="B8" t="s">
        <v>67</v>
      </c>
      <c r="C8" t="s">
        <v>68</v>
      </c>
      <c r="D8">
        <v>6</v>
      </c>
      <c r="F8">
        <v>3</v>
      </c>
    </row>
    <row r="9" spans="1:8">
      <c r="A9">
        <v>8</v>
      </c>
      <c r="B9" t="s">
        <v>69</v>
      </c>
      <c r="C9" t="s">
        <v>70</v>
      </c>
      <c r="D9">
        <v>7</v>
      </c>
      <c r="F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 Intern</dc:creator>
  <cp:keywords/>
  <dc:description/>
  <cp:lastModifiedBy>Kamleshwar Pande</cp:lastModifiedBy>
  <cp:revision/>
  <dcterms:created xsi:type="dcterms:W3CDTF">2015-06-05T18:17:20Z</dcterms:created>
  <dcterms:modified xsi:type="dcterms:W3CDTF">2026-06-24T13:36:44Z</dcterms:modified>
  <cp:category/>
  <cp:contentStatus/>
</cp:coreProperties>
</file>